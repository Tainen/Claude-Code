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スコアリング基準" sheetId="2" state="visible" r:id="rId2"/>
    <sheet name="ファネル・KPI逆算" sheetId="3" state="visible" r:id="rId3"/>
  </sheets>
  <definedNames>
    <definedName name="_xlnm._FilterDatabase" localSheetId="0" hidden="1">'架電リスト'!$A$3:$M$48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メイリオ"/>
      <b val="1"/>
      <color rgb="001F3864"/>
      <sz val="14"/>
    </font>
    <font>
      <name val="メイリオ"/>
      <color rgb="00404040"/>
      <sz val="10"/>
    </font>
    <font>
      <name val="メイリオ"/>
      <b val="1"/>
      <color rgb="00FFFFFF"/>
      <sz val="11"/>
    </font>
    <font>
      <name val="メイリオ"/>
      <sz val="10"/>
    </font>
    <font>
      <name val="メイリオ"/>
      <b val="1"/>
      <sz val="10"/>
    </font>
    <font>
      <name val="メイリオ"/>
      <b val="1"/>
      <sz val="11"/>
    </font>
    <font>
      <name val="メイリオ"/>
      <b val="1"/>
      <color rgb="001F3864"/>
      <sz val="11"/>
    </font>
    <font>
      <name val="メイリオ"/>
      <b val="1"/>
      <color rgb="00FFFFFF"/>
      <sz val="10"/>
    </font>
    <font>
      <name val="メイリオ"/>
      <b val="1"/>
      <color rgb="001B5E20"/>
      <sz val="10"/>
    </font>
    <font>
      <name val="メイリオ"/>
      <b val="1"/>
      <color rgb="005D4037"/>
      <sz val="10"/>
    </font>
    <font>
      <name val="メイリオ"/>
      <b val="1"/>
      <color rgb="00424242"/>
      <sz val="10"/>
    </font>
    <font>
      <name val="メイリオ"/>
      <b val="1"/>
      <color rgb="007F1D1D"/>
      <sz val="10"/>
    </font>
    <font>
      <name val="メイリオ"/>
      <b val="1"/>
      <color rgb="007F3D00"/>
      <sz val="10"/>
    </font>
    <font>
      <name val="メイリオ"/>
      <b val="1"/>
      <color rgb="001F3864"/>
    </font>
  </fonts>
  <fills count="12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D9E1F2"/>
      </patternFill>
    </fill>
    <fill>
      <patternFill patternType="solid">
        <fgColor rgb="002E7D32"/>
      </patternFill>
    </fill>
    <fill>
      <patternFill patternType="solid">
        <fgColor rgb="0066BB6A"/>
      </patternFill>
    </fill>
    <fill>
      <patternFill patternType="solid">
        <fgColor rgb="00FFE082"/>
      </patternFill>
    </fill>
    <fill>
      <patternFill patternType="solid">
        <fgColor rgb="00E0E0E0"/>
      </patternFill>
    </fill>
    <fill>
      <patternFill patternType="solid">
        <fgColor rgb="00EF9A9A"/>
      </patternFill>
    </fill>
    <fill>
      <patternFill patternType="solid">
        <fgColor rgb="00FFCC80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1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4" fillId="0" borderId="0" pivotButton="0" quotePrefix="0" xfId="0"/>
    <xf numFmtId="0" fontId="6" fillId="1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6" fillId="11" borderId="1" applyAlignment="1" pivotButton="0" quotePrefix="0" xfId="0">
      <alignment horizontal="center" vertical="center"/>
    </xf>
    <xf numFmtId="9" fontId="6" fillId="10" borderId="1" applyAlignment="1" pivotButton="0" quotePrefix="0" xfId="0">
      <alignment horizontal="center" vertical="center"/>
    </xf>
    <xf numFmtId="49" fontId="6" fillId="11" borderId="1" applyAlignment="1" pivotButton="0" quotePrefix="0" xfId="0">
      <alignment horizontal="center" vertical="center"/>
    </xf>
  </cellXfs>
  <cellStyles count="1">
    <cellStyle name="Normal" xfId="0" builtinId="0" hidden="0"/>
  </cellStyles>
  <dxfs count="6">
    <dxf>
      <font>
        <name val="メイリオ"/>
        <b val="1"/>
        <color rgb="00FFFFFF"/>
      </font>
      <fill>
        <patternFill patternType="solid">
          <fgColor rgb="002E7D32"/>
        </patternFill>
      </fill>
    </dxf>
    <dxf>
      <font>
        <name val="メイリオ"/>
        <b val="1"/>
        <color rgb="001B5E20"/>
      </font>
      <fill>
        <patternFill patternType="solid">
          <fgColor rgb="0066BB6A"/>
        </patternFill>
      </fill>
    </dxf>
    <dxf>
      <font>
        <name val="メイリオ"/>
        <b val="1"/>
        <color rgb="005D4037"/>
      </font>
      <fill>
        <patternFill patternType="solid">
          <fgColor rgb="00FFE082"/>
        </patternFill>
      </fill>
    </dxf>
    <dxf>
      <font>
        <name val="メイリオ"/>
        <b val="1"/>
        <color rgb="00424242"/>
      </font>
      <fill>
        <patternFill patternType="solid">
          <fgColor rgb="00E0E0E0"/>
        </patternFill>
      </fill>
    </dxf>
    <dxf>
      <font>
        <name val="メイリオ"/>
        <b val="1"/>
        <color rgb="007F1D1D"/>
      </font>
      <fill>
        <patternFill patternType="solid">
          <fgColor rgb="00EF9A9A"/>
        </patternFill>
      </fill>
    </dxf>
    <dxf>
      <font>
        <name val="メイリオ"/>
        <b val="1"/>
        <color rgb="007F3D00"/>
      </font>
      <fill>
        <patternFill patternType="solid">
          <fgColor rgb="00FFCC8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11" customWidth="1" min="10" max="10"/>
    <col width="12" customWidth="1" min="11" max="11"/>
    <col width="28" customWidth="1" min="12" max="12"/>
    <col width="14" customWidth="1" min="13" max="13"/>
  </cols>
  <sheetData>
    <row r="1" ht="26" customHeight="1">
      <c r="A1" s="1" t="inlineStr">
        <is>
          <t>関西学院大学 男子ラクロス部 採用イベント｜架電アプローチ先リスト（5軸スコアリング）</t>
        </is>
      </c>
    </row>
    <row r="2" ht="30" customHeight="1">
      <c r="A2" s="2" t="inlineStr">
        <is>
          <t>① 関係性/② 業界フィット/③ 関西採用/④ イベント出展/⑤ 予算タイミング を各0〜3で入力 → 加重スコアと優先度ランクが自動計算されます。  ③関西採用=0は「対象外」、⑤予算=0は「29卒へ退避」に自動判定。詳細は『スコアリング基準』シート参照。</t>
        </is>
      </c>
    </row>
    <row r="3" ht="34" customHeight="1">
      <c r="A3" s="3" t="inlineStr">
        <is>
          <t>企業名</t>
        </is>
      </c>
      <c r="B3" s="3" t="inlineStr">
        <is>
          <t>業界</t>
        </is>
      </c>
      <c r="C3" s="3" t="inlineStr">
        <is>
          <t>本社/関西拠点</t>
        </is>
      </c>
      <c r="D3" s="3" t="inlineStr">
        <is>
          <t>① 関係性
(0-3)</t>
        </is>
      </c>
      <c r="E3" s="3" t="inlineStr">
        <is>
          <t>② 業界フィット
(0-3)</t>
        </is>
      </c>
      <c r="F3" s="3" t="inlineStr">
        <is>
          <t>③ 関西採用
(0-3)</t>
        </is>
      </c>
      <c r="G3" s="3" t="inlineStr">
        <is>
          <t>④ イベント出展
(0-3)</t>
        </is>
      </c>
      <c r="H3" s="3" t="inlineStr">
        <is>
          <t>⑤ 予算タイミング
(0-3)</t>
        </is>
      </c>
      <c r="I3" s="3" t="inlineStr">
        <is>
          <t>加重スコア
(自動)</t>
        </is>
      </c>
      <c r="J3" s="3" t="inlineStr">
        <is>
          <t>優先度
(自動)</t>
        </is>
      </c>
      <c r="K3" s="3" t="inlineStr">
        <is>
          <t>架電状況</t>
        </is>
      </c>
      <c r="L3" s="3" t="inlineStr">
        <is>
          <t>次アクション・メモ</t>
        </is>
      </c>
      <c r="M3" s="3" t="inlineStr">
        <is>
          <t>再アプローチタグ</t>
        </is>
      </c>
    </row>
    <row r="4" ht="30" customHeight="1">
      <c r="A4" s="4" t="inlineStr">
        <is>
          <t>（記入例）OB在籍・大阪の不動産営業</t>
        </is>
      </c>
      <c r="B4" s="4" t="inlineStr">
        <is>
          <t>不動産</t>
        </is>
      </c>
      <c r="C4" s="4" t="inlineStr">
        <is>
          <t>大阪本社</t>
        </is>
      </c>
      <c r="D4" s="5" t="n">
        <v>3</v>
      </c>
      <c r="E4" s="5" t="n">
        <v>3</v>
      </c>
      <c r="F4" s="5" t="n">
        <v>3</v>
      </c>
      <c r="G4" s="5" t="n">
        <v>3</v>
      </c>
      <c r="H4" s="5" t="n">
        <v>3</v>
      </c>
      <c r="I4" s="6">
        <f>IF(COUNT(D4:H4)&lt;5,"",D4*3+E4*2+F4*2+G4*3+H4*2)</f>
        <v/>
      </c>
      <c r="J4" s="7">
        <f>IF(COUNT(D4:H4)&lt;5,"",IF(F4=0,"対象外(関西外)",IF(H4=0,"29卒へ退避",IF(I4&gt;=30,"S",IF(I4&gt;=24,"A",IF(I4&gt;=18,"B","C"))))))</f>
        <v/>
      </c>
      <c r="K4" s="5" t="inlineStr">
        <is>
          <t>受注</t>
        </is>
      </c>
      <c r="L4" s="4" t="inlineStr">
        <is>
          <t>OB◯◯さん経由で紹介済み。9月枠で内諾</t>
        </is>
      </c>
      <c r="M4" s="4" t="inlineStr">
        <is>
          <t>—</t>
        </is>
      </c>
    </row>
    <row r="5" ht="30" customHeight="1">
      <c r="A5" s="4" t="inlineStr">
        <is>
          <t>（記入例）大阪の人材・合説常連</t>
        </is>
      </c>
      <c r="B5" s="4" t="inlineStr">
        <is>
          <t>人材</t>
        </is>
      </c>
      <c r="C5" s="4" t="inlineStr">
        <is>
          <t>大阪本社</t>
        </is>
      </c>
      <c r="D5" s="5" t="n">
        <v>1</v>
      </c>
      <c r="E5" s="5" t="n">
        <v>3</v>
      </c>
      <c r="F5" s="5" t="n">
        <v>3</v>
      </c>
      <c r="G5" s="5" t="n">
        <v>3</v>
      </c>
      <c r="H5" s="5" t="n">
        <v>2</v>
      </c>
      <c r="I5" s="6">
        <f>IF(COUNT(D5:H5)&lt;5,"",D5*3+E5*2+F5*2+G5*3+H5*2)</f>
        <v/>
      </c>
      <c r="J5" s="7">
        <f>IF(COUNT(D5:H5)&lt;5,"",IF(F5=0,"対象外(関西外)",IF(H5=0,"29卒へ退避",IF(I5&gt;=30,"S",IF(I5&gt;=24,"A",IF(I5&gt;=18,"B","C"))))))</f>
        <v/>
      </c>
      <c r="K5" s="5" t="inlineStr">
        <is>
          <t>アポ</t>
        </is>
      </c>
      <c r="L5" s="4" t="inlineStr">
        <is>
          <t>採用責任者と面談。11月枠を提案中</t>
        </is>
      </c>
      <c r="M5" s="4" t="inlineStr">
        <is>
          <t>—</t>
        </is>
      </c>
    </row>
    <row r="6" ht="30" customHeight="1">
      <c r="A6" s="4" t="inlineStr">
        <is>
          <t>（記入例）関西支社でエリア採用の保険</t>
        </is>
      </c>
      <c r="B6" s="4" t="inlineStr">
        <is>
          <t>保険</t>
        </is>
      </c>
      <c r="C6" s="4" t="inlineStr">
        <is>
          <t>兵庫支社</t>
        </is>
      </c>
      <c r="D6" s="5" t="n">
        <v>2</v>
      </c>
      <c r="E6" s="5" t="n">
        <v>3</v>
      </c>
      <c r="F6" s="5" t="n">
        <v>2</v>
      </c>
      <c r="G6" s="5" t="n">
        <v>2</v>
      </c>
      <c r="H6" s="5" t="n">
        <v>3</v>
      </c>
      <c r="I6" s="6">
        <f>IF(COUNT(D6:H6)&lt;5,"",D6*3+E6*2+F6*2+G6*3+H6*2)</f>
        <v/>
      </c>
      <c r="J6" s="7">
        <f>IF(COUNT(D6:H6)&lt;5,"",IF(F6=0,"対象外(関西外)",IF(H6=0,"29卒へ退避",IF(I6&gt;=30,"S",IF(I6&gt;=24,"A",IF(I6&gt;=18,"B","C"))))))</f>
        <v/>
      </c>
      <c r="K6" s="5" t="inlineStr">
        <is>
          <t>架電済</t>
        </is>
      </c>
      <c r="L6" s="4" t="inlineStr">
        <is>
          <t>支社に採用権限あり。再架電予定</t>
        </is>
      </c>
      <c r="M6" s="4" t="inlineStr">
        <is>
          <t>—</t>
        </is>
      </c>
    </row>
    <row r="7" ht="30" customHeight="1">
      <c r="A7" s="4" t="inlineStr">
        <is>
          <t>（記入例）京都の専門商社(営業職)</t>
        </is>
      </c>
      <c r="B7" s="4" t="inlineStr">
        <is>
          <t>専門商社</t>
        </is>
      </c>
      <c r="C7" s="4" t="inlineStr">
        <is>
          <t>京都本社</t>
        </is>
      </c>
      <c r="D7" s="5" t="n">
        <v>0</v>
      </c>
      <c r="E7" s="5" t="n">
        <v>2</v>
      </c>
      <c r="F7" s="5" t="n">
        <v>3</v>
      </c>
      <c r="G7" s="5" t="n">
        <v>1</v>
      </c>
      <c r="H7" s="5" t="n">
        <v>2</v>
      </c>
      <c r="I7" s="6">
        <f>IF(COUNT(D7:H7)&lt;5,"",D7*3+E7*2+F7*2+G7*3+H7*2)</f>
        <v/>
      </c>
      <c r="J7" s="7">
        <f>IF(COUNT(D7:H7)&lt;5,"",IF(F7=0,"対象外(関西外)",IF(H7=0,"29卒へ退避",IF(I7&gt;=30,"S",IF(I7&gt;=24,"A",IF(I7&gt;=18,"B","C"))))))</f>
        <v/>
      </c>
      <c r="K7" s="5" t="inlineStr">
        <is>
          <t>リスト化</t>
        </is>
      </c>
      <c r="L7" s="4" t="inlineStr">
        <is>
          <t>イベント出展歴を要確認</t>
        </is>
      </c>
      <c r="M7" s="4" t="inlineStr">
        <is>
          <t>—</t>
        </is>
      </c>
    </row>
    <row r="8" ht="30" customHeight="1">
      <c r="A8" s="4" t="inlineStr">
        <is>
          <t>（記入例）大阪のSaaS営業ベンチャー</t>
        </is>
      </c>
      <c r="B8" s="4" t="inlineStr">
        <is>
          <t>IT営業</t>
        </is>
      </c>
      <c r="C8" s="4" t="inlineStr">
        <is>
          <t>大阪本社</t>
        </is>
      </c>
      <c r="D8" s="5" t="n">
        <v>1</v>
      </c>
      <c r="E8" s="5" t="n">
        <v>2</v>
      </c>
      <c r="F8" s="5" t="n">
        <v>3</v>
      </c>
      <c r="G8" s="5" t="n">
        <v>2</v>
      </c>
      <c r="H8" s="5" t="n">
        <v>3</v>
      </c>
      <c r="I8" s="6">
        <f>IF(COUNT(D8:H8)&lt;5,"",D8*3+E8*2+F8*2+G8*3+H8*2)</f>
        <v/>
      </c>
      <c r="J8" s="7">
        <f>IF(COUNT(D8:H8)&lt;5,"",IF(F8=0,"対象外(関西外)",IF(H8=0,"29卒へ退避",IF(I8&gt;=30,"S",IF(I8&gt;=24,"A",IF(I8&gt;=18,"B","C"))))))</f>
        <v/>
      </c>
      <c r="K8" s="5" t="inlineStr">
        <is>
          <t>架電済</t>
        </is>
      </c>
      <c r="L8" s="4" t="inlineStr">
        <is>
          <t>拡大期で母集団を常に欲しい層</t>
        </is>
      </c>
      <c r="M8" s="4" t="inlineStr">
        <is>
          <t>—</t>
        </is>
      </c>
    </row>
    <row r="9" ht="30" customHeight="1">
      <c r="A9" s="4" t="inlineStr">
        <is>
          <t>（記入例）28卒予算が確定済の大手</t>
        </is>
      </c>
      <c r="B9" s="4" t="inlineStr">
        <is>
          <t>メーカー</t>
        </is>
      </c>
      <c r="C9" s="4" t="inlineStr">
        <is>
          <t>大阪本社</t>
        </is>
      </c>
      <c r="D9" s="5" t="n">
        <v>0</v>
      </c>
      <c r="E9" s="5" t="n">
        <v>2</v>
      </c>
      <c r="F9" s="5" t="n">
        <v>1</v>
      </c>
      <c r="G9" s="5" t="n">
        <v>2</v>
      </c>
      <c r="H9" s="5" t="n">
        <v>0</v>
      </c>
      <c r="I9" s="6">
        <f>IF(COUNT(D9:H9)&lt;5,"",D9*3+E9*2+F9*2+G9*3+H9*2)</f>
        <v/>
      </c>
      <c r="J9" s="7">
        <f>IF(COUNT(D9:H9)&lt;5,"",IF(F9=0,"対象外(関西外)",IF(H9=0,"29卒へ退避",IF(I9&gt;=30,"S",IF(I9&gt;=24,"A",IF(I9&gt;=18,"B","C"))))))</f>
        <v/>
      </c>
      <c r="K9" s="5" t="inlineStr">
        <is>
          <t>失注</t>
        </is>
      </c>
      <c r="L9" s="4" t="inlineStr">
        <is>
          <t>28卒は予算完了 → 29卒で再架電</t>
        </is>
      </c>
      <c r="M9" s="4" t="inlineStr">
        <is>
          <t>29卒再架電</t>
        </is>
      </c>
    </row>
    <row r="10" ht="30" customHeight="1">
      <c r="A10" s="4" t="inlineStr">
        <is>
          <t>（記入例）関西で採用しない全国企業</t>
        </is>
      </c>
      <c r="B10" s="4" t="inlineStr">
        <is>
          <t>インフラ</t>
        </is>
      </c>
      <c r="C10" s="4" t="inlineStr">
        <is>
          <t>東京本社</t>
        </is>
      </c>
      <c r="D10" s="5" t="n">
        <v>0</v>
      </c>
      <c r="E10" s="5" t="n">
        <v>1</v>
      </c>
      <c r="F10" s="5" t="n">
        <v>0</v>
      </c>
      <c r="G10" s="5" t="n">
        <v>2</v>
      </c>
      <c r="H10" s="5" t="n">
        <v>1</v>
      </c>
      <c r="I10" s="6">
        <f>IF(COUNT(D10:H10)&lt;5,"",D10*3+E10*2+F10*2+G10*3+H10*2)</f>
        <v/>
      </c>
      <c r="J10" s="7">
        <f>IF(COUNT(D10:H10)&lt;5,"",IF(F10=0,"対象外(関西外)",IF(H10=0,"29卒へ退避",IF(I10&gt;=30,"S",IF(I10&gt;=24,"A",IF(I10&gt;=18,"B","C"))))))</f>
        <v/>
      </c>
      <c r="K10" s="5" t="inlineStr">
        <is>
          <t>架電済</t>
        </is>
      </c>
      <c r="L10" s="4" t="inlineStr">
        <is>
          <t>関西配属なし。学生志向と不一致</t>
        </is>
      </c>
      <c r="M10" s="4" t="inlineStr">
        <is>
          <t>対象外</t>
        </is>
      </c>
    </row>
    <row r="11" ht="30" customHeight="1">
      <c r="A11" s="8" t="n"/>
      <c r="B11" s="8" t="n"/>
      <c r="C11" s="8" t="n"/>
      <c r="D11" s="5" t="n"/>
      <c r="E11" s="5" t="n"/>
      <c r="F11" s="5" t="n"/>
      <c r="G11" s="5" t="n"/>
      <c r="H11" s="5" t="n"/>
      <c r="I11" s="6">
        <f>IF(COUNT(D11:H11)&lt;5,"",D11*3+E11*2+F11*2+G11*3+H11*2)</f>
        <v/>
      </c>
      <c r="J11" s="7">
        <f>IF(COUNT(D11:H11)&lt;5,"",IF(F11=0,"対象外(関西外)",IF(H11=0,"29卒へ退避",IF(I11&gt;=30,"S",IF(I11&gt;=24,"A",IF(I11&gt;=18,"B","C"))))))</f>
        <v/>
      </c>
      <c r="K11" s="5" t="n"/>
      <c r="L11" s="8" t="n"/>
      <c r="M11" s="8" t="n"/>
    </row>
    <row r="12" ht="30" customHeight="1">
      <c r="A12" s="8" t="n"/>
      <c r="B12" s="8" t="n"/>
      <c r="C12" s="8" t="n"/>
      <c r="D12" s="5" t="n"/>
      <c r="E12" s="5" t="n"/>
      <c r="F12" s="5" t="n"/>
      <c r="G12" s="5" t="n"/>
      <c r="H12" s="5" t="n"/>
      <c r="I12" s="6">
        <f>IF(COUNT(D12:H12)&lt;5,"",D12*3+E12*2+F12*2+G12*3+H12*2)</f>
        <v/>
      </c>
      <c r="J12" s="7">
        <f>IF(COUNT(D12:H12)&lt;5,"",IF(F12=0,"対象外(関西外)",IF(H12=0,"29卒へ退避",IF(I12&gt;=30,"S",IF(I12&gt;=24,"A",IF(I12&gt;=18,"B","C"))))))</f>
        <v/>
      </c>
      <c r="K12" s="5" t="n"/>
      <c r="L12" s="8" t="n"/>
      <c r="M12" s="8" t="n"/>
    </row>
    <row r="13" ht="30" customHeight="1">
      <c r="A13" s="8" t="n"/>
      <c r="B13" s="8" t="n"/>
      <c r="C13" s="8" t="n"/>
      <c r="D13" s="5" t="n"/>
      <c r="E13" s="5" t="n"/>
      <c r="F13" s="5" t="n"/>
      <c r="G13" s="5" t="n"/>
      <c r="H13" s="5" t="n"/>
      <c r="I13" s="6">
        <f>IF(COUNT(D13:H13)&lt;5,"",D13*3+E13*2+F13*2+G13*3+H13*2)</f>
        <v/>
      </c>
      <c r="J13" s="7">
        <f>IF(COUNT(D13:H13)&lt;5,"",IF(F13=0,"対象外(関西外)",IF(H13=0,"29卒へ退避",IF(I13&gt;=30,"S",IF(I13&gt;=24,"A",IF(I13&gt;=18,"B","C"))))))</f>
        <v/>
      </c>
      <c r="K13" s="5" t="n"/>
      <c r="L13" s="8" t="n"/>
      <c r="M13" s="8" t="n"/>
    </row>
    <row r="14" ht="30" customHeight="1">
      <c r="A14" s="8" t="n"/>
      <c r="B14" s="8" t="n"/>
      <c r="C14" s="8" t="n"/>
      <c r="D14" s="5" t="n"/>
      <c r="E14" s="5" t="n"/>
      <c r="F14" s="5" t="n"/>
      <c r="G14" s="5" t="n"/>
      <c r="H14" s="5" t="n"/>
      <c r="I14" s="6">
        <f>IF(COUNT(D14:H14)&lt;5,"",D14*3+E14*2+F14*2+G14*3+H14*2)</f>
        <v/>
      </c>
      <c r="J14" s="7">
        <f>IF(COUNT(D14:H14)&lt;5,"",IF(F14=0,"対象外(関西外)",IF(H14=0,"29卒へ退避",IF(I14&gt;=30,"S",IF(I14&gt;=24,"A",IF(I14&gt;=18,"B","C"))))))</f>
        <v/>
      </c>
      <c r="K14" s="5" t="n"/>
      <c r="L14" s="8" t="n"/>
      <c r="M14" s="8" t="n"/>
    </row>
    <row r="15" ht="30" customHeight="1">
      <c r="A15" s="8" t="n"/>
      <c r="B15" s="8" t="n"/>
      <c r="C15" s="8" t="n"/>
      <c r="D15" s="5" t="n"/>
      <c r="E15" s="5" t="n"/>
      <c r="F15" s="5" t="n"/>
      <c r="G15" s="5" t="n"/>
      <c r="H15" s="5" t="n"/>
      <c r="I15" s="6">
        <f>IF(COUNT(D15:H15)&lt;5,"",D15*3+E15*2+F15*2+G15*3+H15*2)</f>
        <v/>
      </c>
      <c r="J15" s="7">
        <f>IF(COUNT(D15:H15)&lt;5,"",IF(F15=0,"対象外(関西外)",IF(H15=0,"29卒へ退避",IF(I15&gt;=30,"S",IF(I15&gt;=24,"A",IF(I15&gt;=18,"B","C"))))))</f>
        <v/>
      </c>
      <c r="K15" s="5" t="n"/>
      <c r="L15" s="8" t="n"/>
      <c r="M15" s="8" t="n"/>
    </row>
    <row r="16" ht="30" customHeight="1">
      <c r="A16" s="8" t="n"/>
      <c r="B16" s="8" t="n"/>
      <c r="C16" s="8" t="n"/>
      <c r="D16" s="5" t="n"/>
      <c r="E16" s="5" t="n"/>
      <c r="F16" s="5" t="n"/>
      <c r="G16" s="5" t="n"/>
      <c r="H16" s="5" t="n"/>
      <c r="I16" s="6">
        <f>IF(COUNT(D16:H16)&lt;5,"",D16*3+E16*2+F16*2+G16*3+H16*2)</f>
        <v/>
      </c>
      <c r="J16" s="7">
        <f>IF(COUNT(D16:H16)&lt;5,"",IF(F16=0,"対象外(関西外)",IF(H16=0,"29卒へ退避",IF(I16&gt;=30,"S",IF(I16&gt;=24,"A",IF(I16&gt;=18,"B","C"))))))</f>
        <v/>
      </c>
      <c r="K16" s="5" t="n"/>
      <c r="L16" s="8" t="n"/>
      <c r="M16" s="8" t="n"/>
    </row>
    <row r="17" ht="30" customHeight="1">
      <c r="A17" s="8" t="n"/>
      <c r="B17" s="8" t="n"/>
      <c r="C17" s="8" t="n"/>
      <c r="D17" s="5" t="n"/>
      <c r="E17" s="5" t="n"/>
      <c r="F17" s="5" t="n"/>
      <c r="G17" s="5" t="n"/>
      <c r="H17" s="5" t="n"/>
      <c r="I17" s="6">
        <f>IF(COUNT(D17:H17)&lt;5,"",D17*3+E17*2+F17*2+G17*3+H17*2)</f>
        <v/>
      </c>
      <c r="J17" s="7">
        <f>IF(COUNT(D17:H17)&lt;5,"",IF(F17=0,"対象外(関西外)",IF(H17=0,"29卒へ退避",IF(I17&gt;=30,"S",IF(I17&gt;=24,"A",IF(I17&gt;=18,"B","C"))))))</f>
        <v/>
      </c>
      <c r="K17" s="5" t="n"/>
      <c r="L17" s="8" t="n"/>
      <c r="M17" s="8" t="n"/>
    </row>
    <row r="18" ht="30" customHeight="1">
      <c r="A18" s="8" t="n"/>
      <c r="B18" s="8" t="n"/>
      <c r="C18" s="8" t="n"/>
      <c r="D18" s="5" t="n"/>
      <c r="E18" s="5" t="n"/>
      <c r="F18" s="5" t="n"/>
      <c r="G18" s="5" t="n"/>
      <c r="H18" s="5" t="n"/>
      <c r="I18" s="6">
        <f>IF(COUNT(D18:H18)&lt;5,"",D18*3+E18*2+F18*2+G18*3+H18*2)</f>
        <v/>
      </c>
      <c r="J18" s="7">
        <f>IF(COUNT(D18:H18)&lt;5,"",IF(F18=0,"対象外(関西外)",IF(H18=0,"29卒へ退避",IF(I18&gt;=30,"S",IF(I18&gt;=24,"A",IF(I18&gt;=18,"B","C"))))))</f>
        <v/>
      </c>
      <c r="K18" s="5" t="n"/>
      <c r="L18" s="8" t="n"/>
      <c r="M18" s="8" t="n"/>
    </row>
    <row r="19" ht="30" customHeight="1">
      <c r="A19" s="8" t="n"/>
      <c r="B19" s="8" t="n"/>
      <c r="C19" s="8" t="n"/>
      <c r="D19" s="5" t="n"/>
      <c r="E19" s="5" t="n"/>
      <c r="F19" s="5" t="n"/>
      <c r="G19" s="5" t="n"/>
      <c r="H19" s="5" t="n"/>
      <c r="I19" s="6">
        <f>IF(COUNT(D19:H19)&lt;5,"",D19*3+E19*2+F19*2+G19*3+H19*2)</f>
        <v/>
      </c>
      <c r="J19" s="7">
        <f>IF(COUNT(D19:H19)&lt;5,"",IF(F19=0,"対象外(関西外)",IF(H19=0,"29卒へ退避",IF(I19&gt;=30,"S",IF(I19&gt;=24,"A",IF(I19&gt;=18,"B","C"))))))</f>
        <v/>
      </c>
      <c r="K19" s="5" t="n"/>
      <c r="L19" s="8" t="n"/>
      <c r="M19" s="8" t="n"/>
    </row>
    <row r="20" ht="30" customHeight="1">
      <c r="A20" s="8" t="n"/>
      <c r="B20" s="8" t="n"/>
      <c r="C20" s="8" t="n"/>
      <c r="D20" s="5" t="n"/>
      <c r="E20" s="5" t="n"/>
      <c r="F20" s="5" t="n"/>
      <c r="G20" s="5" t="n"/>
      <c r="H20" s="5" t="n"/>
      <c r="I20" s="6">
        <f>IF(COUNT(D20:H20)&lt;5,"",D20*3+E20*2+F20*2+G20*3+H20*2)</f>
        <v/>
      </c>
      <c r="J20" s="7">
        <f>IF(COUNT(D20:H20)&lt;5,"",IF(F20=0,"対象外(関西外)",IF(H20=0,"29卒へ退避",IF(I20&gt;=30,"S",IF(I20&gt;=24,"A",IF(I20&gt;=18,"B","C"))))))</f>
        <v/>
      </c>
      <c r="K20" s="5" t="n"/>
      <c r="L20" s="8" t="n"/>
      <c r="M20" s="8" t="n"/>
    </row>
    <row r="21" ht="30" customHeight="1">
      <c r="A21" s="8" t="n"/>
      <c r="B21" s="8" t="n"/>
      <c r="C21" s="8" t="n"/>
      <c r="D21" s="5" t="n"/>
      <c r="E21" s="5" t="n"/>
      <c r="F21" s="5" t="n"/>
      <c r="G21" s="5" t="n"/>
      <c r="H21" s="5" t="n"/>
      <c r="I21" s="6">
        <f>IF(COUNT(D21:H21)&lt;5,"",D21*3+E21*2+F21*2+G21*3+H21*2)</f>
        <v/>
      </c>
      <c r="J21" s="7">
        <f>IF(COUNT(D21:H21)&lt;5,"",IF(F21=0,"対象外(関西外)",IF(H21=0,"29卒へ退避",IF(I21&gt;=30,"S",IF(I21&gt;=24,"A",IF(I21&gt;=18,"B","C"))))))</f>
        <v/>
      </c>
      <c r="K21" s="5" t="n"/>
      <c r="L21" s="8" t="n"/>
      <c r="M21" s="8" t="n"/>
    </row>
    <row r="22" ht="30" customHeight="1">
      <c r="A22" s="8" t="n"/>
      <c r="B22" s="8" t="n"/>
      <c r="C22" s="8" t="n"/>
      <c r="D22" s="5" t="n"/>
      <c r="E22" s="5" t="n"/>
      <c r="F22" s="5" t="n"/>
      <c r="G22" s="5" t="n"/>
      <c r="H22" s="5" t="n"/>
      <c r="I22" s="6">
        <f>IF(COUNT(D22:H22)&lt;5,"",D22*3+E22*2+F22*2+G22*3+H22*2)</f>
        <v/>
      </c>
      <c r="J22" s="7">
        <f>IF(COUNT(D22:H22)&lt;5,"",IF(F22=0,"対象外(関西外)",IF(H22=0,"29卒へ退避",IF(I22&gt;=30,"S",IF(I22&gt;=24,"A",IF(I22&gt;=18,"B","C"))))))</f>
        <v/>
      </c>
      <c r="K22" s="5" t="n"/>
      <c r="L22" s="8" t="n"/>
      <c r="M22" s="8" t="n"/>
    </row>
    <row r="23" ht="30" customHeight="1">
      <c r="A23" s="8" t="n"/>
      <c r="B23" s="8" t="n"/>
      <c r="C23" s="8" t="n"/>
      <c r="D23" s="5" t="n"/>
      <c r="E23" s="5" t="n"/>
      <c r="F23" s="5" t="n"/>
      <c r="G23" s="5" t="n"/>
      <c r="H23" s="5" t="n"/>
      <c r="I23" s="6">
        <f>IF(COUNT(D23:H23)&lt;5,"",D23*3+E23*2+F23*2+G23*3+H23*2)</f>
        <v/>
      </c>
      <c r="J23" s="7">
        <f>IF(COUNT(D23:H23)&lt;5,"",IF(F23=0,"対象外(関西外)",IF(H23=0,"29卒へ退避",IF(I23&gt;=30,"S",IF(I23&gt;=24,"A",IF(I23&gt;=18,"B","C"))))))</f>
        <v/>
      </c>
      <c r="K23" s="5" t="n"/>
      <c r="L23" s="8" t="n"/>
      <c r="M23" s="8" t="n"/>
    </row>
    <row r="24" ht="30" customHeight="1">
      <c r="A24" s="8" t="n"/>
      <c r="B24" s="8" t="n"/>
      <c r="C24" s="8" t="n"/>
      <c r="D24" s="5" t="n"/>
      <c r="E24" s="5" t="n"/>
      <c r="F24" s="5" t="n"/>
      <c r="G24" s="5" t="n"/>
      <c r="H24" s="5" t="n"/>
      <c r="I24" s="6">
        <f>IF(COUNT(D24:H24)&lt;5,"",D24*3+E24*2+F24*2+G24*3+H24*2)</f>
        <v/>
      </c>
      <c r="J24" s="7">
        <f>IF(COUNT(D24:H24)&lt;5,"",IF(F24=0,"対象外(関西外)",IF(H24=0,"29卒へ退避",IF(I24&gt;=30,"S",IF(I24&gt;=24,"A",IF(I24&gt;=18,"B","C"))))))</f>
        <v/>
      </c>
      <c r="K24" s="5" t="n"/>
      <c r="L24" s="8" t="n"/>
      <c r="M24" s="8" t="n"/>
    </row>
    <row r="25" ht="30" customHeight="1">
      <c r="A25" s="8" t="n"/>
      <c r="B25" s="8" t="n"/>
      <c r="C25" s="8" t="n"/>
      <c r="D25" s="5" t="n"/>
      <c r="E25" s="5" t="n"/>
      <c r="F25" s="5" t="n"/>
      <c r="G25" s="5" t="n"/>
      <c r="H25" s="5" t="n"/>
      <c r="I25" s="6">
        <f>IF(COUNT(D25:H25)&lt;5,"",D25*3+E25*2+F25*2+G25*3+H25*2)</f>
        <v/>
      </c>
      <c r="J25" s="7">
        <f>IF(COUNT(D25:H25)&lt;5,"",IF(F25=0,"対象外(関西外)",IF(H25=0,"29卒へ退避",IF(I25&gt;=30,"S",IF(I25&gt;=24,"A",IF(I25&gt;=18,"B","C"))))))</f>
        <v/>
      </c>
      <c r="K25" s="5" t="n"/>
      <c r="L25" s="8" t="n"/>
      <c r="M25" s="8" t="n"/>
    </row>
    <row r="26" ht="30" customHeight="1">
      <c r="A26" s="8" t="n"/>
      <c r="B26" s="8" t="n"/>
      <c r="C26" s="8" t="n"/>
      <c r="D26" s="5" t="n"/>
      <c r="E26" s="5" t="n"/>
      <c r="F26" s="5" t="n"/>
      <c r="G26" s="5" t="n"/>
      <c r="H26" s="5" t="n"/>
      <c r="I26" s="6">
        <f>IF(COUNT(D26:H26)&lt;5,"",D26*3+E26*2+F26*2+G26*3+H26*2)</f>
        <v/>
      </c>
      <c r="J26" s="7">
        <f>IF(COUNT(D26:H26)&lt;5,"",IF(F26=0,"対象外(関西外)",IF(H26=0,"29卒へ退避",IF(I26&gt;=30,"S",IF(I26&gt;=24,"A",IF(I26&gt;=18,"B","C"))))))</f>
        <v/>
      </c>
      <c r="K26" s="5" t="n"/>
      <c r="L26" s="8" t="n"/>
      <c r="M26" s="8" t="n"/>
    </row>
    <row r="27" ht="30" customHeight="1">
      <c r="A27" s="8" t="n"/>
      <c r="B27" s="8" t="n"/>
      <c r="C27" s="8" t="n"/>
      <c r="D27" s="5" t="n"/>
      <c r="E27" s="5" t="n"/>
      <c r="F27" s="5" t="n"/>
      <c r="G27" s="5" t="n"/>
      <c r="H27" s="5" t="n"/>
      <c r="I27" s="6">
        <f>IF(COUNT(D27:H27)&lt;5,"",D27*3+E27*2+F27*2+G27*3+H27*2)</f>
        <v/>
      </c>
      <c r="J27" s="7">
        <f>IF(COUNT(D27:H27)&lt;5,"",IF(F27=0,"対象外(関西外)",IF(H27=0,"29卒へ退避",IF(I27&gt;=30,"S",IF(I27&gt;=24,"A",IF(I27&gt;=18,"B","C"))))))</f>
        <v/>
      </c>
      <c r="K27" s="5" t="n"/>
      <c r="L27" s="8" t="n"/>
      <c r="M27" s="8" t="n"/>
    </row>
    <row r="28" ht="30" customHeight="1">
      <c r="A28" s="8" t="n"/>
      <c r="B28" s="8" t="n"/>
      <c r="C28" s="8" t="n"/>
      <c r="D28" s="5" t="n"/>
      <c r="E28" s="5" t="n"/>
      <c r="F28" s="5" t="n"/>
      <c r="G28" s="5" t="n"/>
      <c r="H28" s="5" t="n"/>
      <c r="I28" s="6">
        <f>IF(COUNT(D28:H28)&lt;5,"",D28*3+E28*2+F28*2+G28*3+H28*2)</f>
        <v/>
      </c>
      <c r="J28" s="7">
        <f>IF(COUNT(D28:H28)&lt;5,"",IF(F28=0,"対象外(関西外)",IF(H28=0,"29卒へ退避",IF(I28&gt;=30,"S",IF(I28&gt;=24,"A",IF(I28&gt;=18,"B","C"))))))</f>
        <v/>
      </c>
      <c r="K28" s="5" t="n"/>
      <c r="L28" s="8" t="n"/>
      <c r="M28" s="8" t="n"/>
    </row>
    <row r="29" ht="30" customHeight="1">
      <c r="A29" s="8" t="n"/>
      <c r="B29" s="8" t="n"/>
      <c r="C29" s="8" t="n"/>
      <c r="D29" s="5" t="n"/>
      <c r="E29" s="5" t="n"/>
      <c r="F29" s="5" t="n"/>
      <c r="G29" s="5" t="n"/>
      <c r="H29" s="5" t="n"/>
      <c r="I29" s="6">
        <f>IF(COUNT(D29:H29)&lt;5,"",D29*3+E29*2+F29*2+G29*3+H29*2)</f>
        <v/>
      </c>
      <c r="J29" s="7">
        <f>IF(COUNT(D29:H29)&lt;5,"",IF(F29=0,"対象外(関西外)",IF(H29=0,"29卒へ退避",IF(I29&gt;=30,"S",IF(I29&gt;=24,"A",IF(I29&gt;=18,"B","C"))))))</f>
        <v/>
      </c>
      <c r="K29" s="5" t="n"/>
      <c r="L29" s="8" t="n"/>
      <c r="M29" s="8" t="n"/>
    </row>
    <row r="30" ht="30" customHeight="1">
      <c r="A30" s="8" t="n"/>
      <c r="B30" s="8" t="n"/>
      <c r="C30" s="8" t="n"/>
      <c r="D30" s="5" t="n"/>
      <c r="E30" s="5" t="n"/>
      <c r="F30" s="5" t="n"/>
      <c r="G30" s="5" t="n"/>
      <c r="H30" s="5" t="n"/>
      <c r="I30" s="6">
        <f>IF(COUNT(D30:H30)&lt;5,"",D30*3+E30*2+F30*2+G30*3+H30*2)</f>
        <v/>
      </c>
      <c r="J30" s="7">
        <f>IF(COUNT(D30:H30)&lt;5,"",IF(F30=0,"対象外(関西外)",IF(H30=0,"29卒へ退避",IF(I30&gt;=30,"S",IF(I30&gt;=24,"A",IF(I30&gt;=18,"B","C"))))))</f>
        <v/>
      </c>
      <c r="K30" s="5" t="n"/>
      <c r="L30" s="8" t="n"/>
      <c r="M30" s="8" t="n"/>
    </row>
    <row r="31" ht="30" customHeight="1">
      <c r="A31" s="8" t="n"/>
      <c r="B31" s="8" t="n"/>
      <c r="C31" s="8" t="n"/>
      <c r="D31" s="5" t="n"/>
      <c r="E31" s="5" t="n"/>
      <c r="F31" s="5" t="n"/>
      <c r="G31" s="5" t="n"/>
      <c r="H31" s="5" t="n"/>
      <c r="I31" s="6">
        <f>IF(COUNT(D31:H31)&lt;5,"",D31*3+E31*2+F31*2+G31*3+H31*2)</f>
        <v/>
      </c>
      <c r="J31" s="7">
        <f>IF(COUNT(D31:H31)&lt;5,"",IF(F31=0,"対象外(関西外)",IF(H31=0,"29卒へ退避",IF(I31&gt;=30,"S",IF(I31&gt;=24,"A",IF(I31&gt;=18,"B","C"))))))</f>
        <v/>
      </c>
      <c r="K31" s="5" t="n"/>
      <c r="L31" s="8" t="n"/>
      <c r="M31" s="8" t="n"/>
    </row>
    <row r="32" ht="30" customHeight="1">
      <c r="A32" s="8" t="n"/>
      <c r="B32" s="8" t="n"/>
      <c r="C32" s="8" t="n"/>
      <c r="D32" s="5" t="n"/>
      <c r="E32" s="5" t="n"/>
      <c r="F32" s="5" t="n"/>
      <c r="G32" s="5" t="n"/>
      <c r="H32" s="5" t="n"/>
      <c r="I32" s="6">
        <f>IF(COUNT(D32:H32)&lt;5,"",D32*3+E32*2+F32*2+G32*3+H32*2)</f>
        <v/>
      </c>
      <c r="J32" s="7">
        <f>IF(COUNT(D32:H32)&lt;5,"",IF(F32=0,"対象外(関西外)",IF(H32=0,"29卒へ退避",IF(I32&gt;=30,"S",IF(I32&gt;=24,"A",IF(I32&gt;=18,"B","C"))))))</f>
        <v/>
      </c>
      <c r="K32" s="5" t="n"/>
      <c r="L32" s="8" t="n"/>
      <c r="M32" s="8" t="n"/>
    </row>
    <row r="33" ht="30" customHeight="1">
      <c r="A33" s="8" t="n"/>
      <c r="B33" s="8" t="n"/>
      <c r="C33" s="8" t="n"/>
      <c r="D33" s="5" t="n"/>
      <c r="E33" s="5" t="n"/>
      <c r="F33" s="5" t="n"/>
      <c r="G33" s="5" t="n"/>
      <c r="H33" s="5" t="n"/>
      <c r="I33" s="6">
        <f>IF(COUNT(D33:H33)&lt;5,"",D33*3+E33*2+F33*2+G33*3+H33*2)</f>
        <v/>
      </c>
      <c r="J33" s="7">
        <f>IF(COUNT(D33:H33)&lt;5,"",IF(F33=0,"対象外(関西外)",IF(H33=0,"29卒へ退避",IF(I33&gt;=30,"S",IF(I33&gt;=24,"A",IF(I33&gt;=18,"B","C"))))))</f>
        <v/>
      </c>
      <c r="K33" s="5" t="n"/>
      <c r="L33" s="8" t="n"/>
      <c r="M33" s="8" t="n"/>
    </row>
    <row r="34" ht="30" customHeight="1">
      <c r="A34" s="8" t="n"/>
      <c r="B34" s="8" t="n"/>
      <c r="C34" s="8" t="n"/>
      <c r="D34" s="5" t="n"/>
      <c r="E34" s="5" t="n"/>
      <c r="F34" s="5" t="n"/>
      <c r="G34" s="5" t="n"/>
      <c r="H34" s="5" t="n"/>
      <c r="I34" s="6">
        <f>IF(COUNT(D34:H34)&lt;5,"",D34*3+E34*2+F34*2+G34*3+H34*2)</f>
        <v/>
      </c>
      <c r="J34" s="7">
        <f>IF(COUNT(D34:H34)&lt;5,"",IF(F34=0,"対象外(関西外)",IF(H34=0,"29卒へ退避",IF(I34&gt;=30,"S",IF(I34&gt;=24,"A",IF(I34&gt;=18,"B","C"))))))</f>
        <v/>
      </c>
      <c r="K34" s="5" t="n"/>
      <c r="L34" s="8" t="n"/>
      <c r="M34" s="8" t="n"/>
    </row>
    <row r="35" ht="30" customHeight="1">
      <c r="A35" s="8" t="n"/>
      <c r="B35" s="8" t="n"/>
      <c r="C35" s="8" t="n"/>
      <c r="D35" s="5" t="n"/>
      <c r="E35" s="5" t="n"/>
      <c r="F35" s="5" t="n"/>
      <c r="G35" s="5" t="n"/>
      <c r="H35" s="5" t="n"/>
      <c r="I35" s="6">
        <f>IF(COUNT(D35:H35)&lt;5,"",D35*3+E35*2+F35*2+G35*3+H35*2)</f>
        <v/>
      </c>
      <c r="J35" s="7">
        <f>IF(COUNT(D35:H35)&lt;5,"",IF(F35=0,"対象外(関西外)",IF(H35=0,"29卒へ退避",IF(I35&gt;=30,"S",IF(I35&gt;=24,"A",IF(I35&gt;=18,"B","C"))))))</f>
        <v/>
      </c>
      <c r="K35" s="5" t="n"/>
      <c r="L35" s="8" t="n"/>
      <c r="M35" s="8" t="n"/>
    </row>
    <row r="36" ht="30" customHeight="1">
      <c r="A36" s="8" t="n"/>
      <c r="B36" s="8" t="n"/>
      <c r="C36" s="8" t="n"/>
      <c r="D36" s="5" t="n"/>
      <c r="E36" s="5" t="n"/>
      <c r="F36" s="5" t="n"/>
      <c r="G36" s="5" t="n"/>
      <c r="H36" s="5" t="n"/>
      <c r="I36" s="6">
        <f>IF(COUNT(D36:H36)&lt;5,"",D36*3+E36*2+F36*2+G36*3+H36*2)</f>
        <v/>
      </c>
      <c r="J36" s="7">
        <f>IF(COUNT(D36:H36)&lt;5,"",IF(F36=0,"対象外(関西外)",IF(H36=0,"29卒へ退避",IF(I36&gt;=30,"S",IF(I36&gt;=24,"A",IF(I36&gt;=18,"B","C"))))))</f>
        <v/>
      </c>
      <c r="K36" s="5" t="n"/>
      <c r="L36" s="8" t="n"/>
      <c r="M36" s="8" t="n"/>
    </row>
    <row r="37" ht="30" customHeight="1">
      <c r="A37" s="8" t="n"/>
      <c r="B37" s="8" t="n"/>
      <c r="C37" s="8" t="n"/>
      <c r="D37" s="5" t="n"/>
      <c r="E37" s="5" t="n"/>
      <c r="F37" s="5" t="n"/>
      <c r="G37" s="5" t="n"/>
      <c r="H37" s="5" t="n"/>
      <c r="I37" s="6">
        <f>IF(COUNT(D37:H37)&lt;5,"",D37*3+E37*2+F37*2+G37*3+H37*2)</f>
        <v/>
      </c>
      <c r="J37" s="7">
        <f>IF(COUNT(D37:H37)&lt;5,"",IF(F37=0,"対象外(関西外)",IF(H37=0,"29卒へ退避",IF(I37&gt;=30,"S",IF(I37&gt;=24,"A",IF(I37&gt;=18,"B","C"))))))</f>
        <v/>
      </c>
      <c r="K37" s="5" t="n"/>
      <c r="L37" s="8" t="n"/>
      <c r="M37" s="8" t="n"/>
    </row>
    <row r="38" ht="30" customHeight="1">
      <c r="A38" s="8" t="n"/>
      <c r="B38" s="8" t="n"/>
      <c r="C38" s="8" t="n"/>
      <c r="D38" s="5" t="n"/>
      <c r="E38" s="5" t="n"/>
      <c r="F38" s="5" t="n"/>
      <c r="G38" s="5" t="n"/>
      <c r="H38" s="5" t="n"/>
      <c r="I38" s="6">
        <f>IF(COUNT(D38:H38)&lt;5,"",D38*3+E38*2+F38*2+G38*3+H38*2)</f>
        <v/>
      </c>
      <c r="J38" s="7">
        <f>IF(COUNT(D38:H38)&lt;5,"",IF(F38=0,"対象外(関西外)",IF(H38=0,"29卒へ退避",IF(I38&gt;=30,"S",IF(I38&gt;=24,"A",IF(I38&gt;=18,"B","C"))))))</f>
        <v/>
      </c>
      <c r="K38" s="5" t="n"/>
      <c r="L38" s="8" t="n"/>
      <c r="M38" s="8" t="n"/>
    </row>
    <row r="39" ht="30" customHeight="1">
      <c r="A39" s="8" t="n"/>
      <c r="B39" s="8" t="n"/>
      <c r="C39" s="8" t="n"/>
      <c r="D39" s="5" t="n"/>
      <c r="E39" s="5" t="n"/>
      <c r="F39" s="5" t="n"/>
      <c r="G39" s="5" t="n"/>
      <c r="H39" s="5" t="n"/>
      <c r="I39" s="6">
        <f>IF(COUNT(D39:H39)&lt;5,"",D39*3+E39*2+F39*2+G39*3+H39*2)</f>
        <v/>
      </c>
      <c r="J39" s="7">
        <f>IF(COUNT(D39:H39)&lt;5,"",IF(F39=0,"対象外(関西外)",IF(H39=0,"29卒へ退避",IF(I39&gt;=30,"S",IF(I39&gt;=24,"A",IF(I39&gt;=18,"B","C"))))))</f>
        <v/>
      </c>
      <c r="K39" s="5" t="n"/>
      <c r="L39" s="8" t="n"/>
      <c r="M39" s="8" t="n"/>
    </row>
    <row r="40" ht="30" customHeight="1">
      <c r="A40" s="8" t="n"/>
      <c r="B40" s="8" t="n"/>
      <c r="C40" s="8" t="n"/>
      <c r="D40" s="5" t="n"/>
      <c r="E40" s="5" t="n"/>
      <c r="F40" s="5" t="n"/>
      <c r="G40" s="5" t="n"/>
      <c r="H40" s="5" t="n"/>
      <c r="I40" s="6">
        <f>IF(COUNT(D40:H40)&lt;5,"",D40*3+E40*2+F40*2+G40*3+H40*2)</f>
        <v/>
      </c>
      <c r="J40" s="7">
        <f>IF(COUNT(D40:H40)&lt;5,"",IF(F40=0,"対象外(関西外)",IF(H40=0,"29卒へ退避",IF(I40&gt;=30,"S",IF(I40&gt;=24,"A",IF(I40&gt;=18,"B","C"))))))</f>
        <v/>
      </c>
      <c r="K40" s="5" t="n"/>
      <c r="L40" s="8" t="n"/>
      <c r="M40" s="8" t="n"/>
    </row>
    <row r="41" ht="30" customHeight="1">
      <c r="A41" s="8" t="n"/>
      <c r="B41" s="8" t="n"/>
      <c r="C41" s="8" t="n"/>
      <c r="D41" s="5" t="n"/>
      <c r="E41" s="5" t="n"/>
      <c r="F41" s="5" t="n"/>
      <c r="G41" s="5" t="n"/>
      <c r="H41" s="5" t="n"/>
      <c r="I41" s="6">
        <f>IF(COUNT(D41:H41)&lt;5,"",D41*3+E41*2+F41*2+G41*3+H41*2)</f>
        <v/>
      </c>
      <c r="J41" s="7">
        <f>IF(COUNT(D41:H41)&lt;5,"",IF(F41=0,"対象外(関西外)",IF(H41=0,"29卒へ退避",IF(I41&gt;=30,"S",IF(I41&gt;=24,"A",IF(I41&gt;=18,"B","C"))))))</f>
        <v/>
      </c>
      <c r="K41" s="5" t="n"/>
      <c r="L41" s="8" t="n"/>
      <c r="M41" s="8" t="n"/>
    </row>
    <row r="42" ht="30" customHeight="1">
      <c r="A42" s="8" t="n"/>
      <c r="B42" s="8" t="n"/>
      <c r="C42" s="8" t="n"/>
      <c r="D42" s="5" t="n"/>
      <c r="E42" s="5" t="n"/>
      <c r="F42" s="5" t="n"/>
      <c r="G42" s="5" t="n"/>
      <c r="H42" s="5" t="n"/>
      <c r="I42" s="6">
        <f>IF(COUNT(D42:H42)&lt;5,"",D42*3+E42*2+F42*2+G42*3+H42*2)</f>
        <v/>
      </c>
      <c r="J42" s="7">
        <f>IF(COUNT(D42:H42)&lt;5,"",IF(F42=0,"対象外(関西外)",IF(H42=0,"29卒へ退避",IF(I42&gt;=30,"S",IF(I42&gt;=24,"A",IF(I42&gt;=18,"B","C"))))))</f>
        <v/>
      </c>
      <c r="K42" s="5" t="n"/>
      <c r="L42" s="8" t="n"/>
      <c r="M42" s="8" t="n"/>
    </row>
    <row r="43" ht="30" customHeight="1">
      <c r="A43" s="8" t="n"/>
      <c r="B43" s="8" t="n"/>
      <c r="C43" s="8" t="n"/>
      <c r="D43" s="5" t="n"/>
      <c r="E43" s="5" t="n"/>
      <c r="F43" s="5" t="n"/>
      <c r="G43" s="5" t="n"/>
      <c r="H43" s="5" t="n"/>
      <c r="I43" s="6">
        <f>IF(COUNT(D43:H43)&lt;5,"",D43*3+E43*2+F43*2+G43*3+H43*2)</f>
        <v/>
      </c>
      <c r="J43" s="7">
        <f>IF(COUNT(D43:H43)&lt;5,"",IF(F43=0,"対象外(関西外)",IF(H43=0,"29卒へ退避",IF(I43&gt;=30,"S",IF(I43&gt;=24,"A",IF(I43&gt;=18,"B","C"))))))</f>
        <v/>
      </c>
      <c r="K43" s="5" t="n"/>
      <c r="L43" s="8" t="n"/>
      <c r="M43" s="8" t="n"/>
    </row>
    <row r="44" ht="30" customHeight="1">
      <c r="A44" s="8" t="n"/>
      <c r="B44" s="8" t="n"/>
      <c r="C44" s="8" t="n"/>
      <c r="D44" s="5" t="n"/>
      <c r="E44" s="5" t="n"/>
      <c r="F44" s="5" t="n"/>
      <c r="G44" s="5" t="n"/>
      <c r="H44" s="5" t="n"/>
      <c r="I44" s="6">
        <f>IF(COUNT(D44:H44)&lt;5,"",D44*3+E44*2+F44*2+G44*3+H44*2)</f>
        <v/>
      </c>
      <c r="J44" s="7">
        <f>IF(COUNT(D44:H44)&lt;5,"",IF(F44=0,"対象外(関西外)",IF(H44=0,"29卒へ退避",IF(I44&gt;=30,"S",IF(I44&gt;=24,"A",IF(I44&gt;=18,"B","C"))))))</f>
        <v/>
      </c>
      <c r="K44" s="5" t="n"/>
      <c r="L44" s="8" t="n"/>
      <c r="M44" s="8" t="n"/>
    </row>
    <row r="45" ht="30" customHeight="1">
      <c r="A45" s="8" t="n"/>
      <c r="B45" s="8" t="n"/>
      <c r="C45" s="8" t="n"/>
      <c r="D45" s="5" t="n"/>
      <c r="E45" s="5" t="n"/>
      <c r="F45" s="5" t="n"/>
      <c r="G45" s="5" t="n"/>
      <c r="H45" s="5" t="n"/>
      <c r="I45" s="6">
        <f>IF(COUNT(D45:H45)&lt;5,"",D45*3+E45*2+F45*2+G45*3+H45*2)</f>
        <v/>
      </c>
      <c r="J45" s="7">
        <f>IF(COUNT(D45:H45)&lt;5,"",IF(F45=0,"対象外(関西外)",IF(H45=0,"29卒へ退避",IF(I45&gt;=30,"S",IF(I45&gt;=24,"A",IF(I45&gt;=18,"B","C"))))))</f>
        <v/>
      </c>
      <c r="K45" s="5" t="n"/>
      <c r="L45" s="8" t="n"/>
      <c r="M45" s="8" t="n"/>
    </row>
    <row r="46" ht="30" customHeight="1">
      <c r="A46" s="8" t="n"/>
      <c r="B46" s="8" t="n"/>
      <c r="C46" s="8" t="n"/>
      <c r="D46" s="5" t="n"/>
      <c r="E46" s="5" t="n"/>
      <c r="F46" s="5" t="n"/>
      <c r="G46" s="5" t="n"/>
      <c r="H46" s="5" t="n"/>
      <c r="I46" s="6">
        <f>IF(COUNT(D46:H46)&lt;5,"",D46*3+E46*2+F46*2+G46*3+H46*2)</f>
        <v/>
      </c>
      <c r="J46" s="7">
        <f>IF(COUNT(D46:H46)&lt;5,"",IF(F46=0,"対象外(関西外)",IF(H46=0,"29卒へ退避",IF(I46&gt;=30,"S",IF(I46&gt;=24,"A",IF(I46&gt;=18,"B","C"))))))</f>
        <v/>
      </c>
      <c r="K46" s="5" t="n"/>
      <c r="L46" s="8" t="n"/>
      <c r="M46" s="8" t="n"/>
    </row>
    <row r="47" ht="30" customHeight="1">
      <c r="A47" s="8" t="n"/>
      <c r="B47" s="8" t="n"/>
      <c r="C47" s="8" t="n"/>
      <c r="D47" s="5" t="n"/>
      <c r="E47" s="5" t="n"/>
      <c r="F47" s="5" t="n"/>
      <c r="G47" s="5" t="n"/>
      <c r="H47" s="5" t="n"/>
      <c r="I47" s="6">
        <f>IF(COUNT(D47:H47)&lt;5,"",D47*3+E47*2+F47*2+G47*3+H47*2)</f>
        <v/>
      </c>
      <c r="J47" s="7">
        <f>IF(COUNT(D47:H47)&lt;5,"",IF(F47=0,"対象外(関西外)",IF(H47=0,"29卒へ退避",IF(I47&gt;=30,"S",IF(I47&gt;=24,"A",IF(I47&gt;=18,"B","C"))))))</f>
        <v/>
      </c>
      <c r="K47" s="5" t="n"/>
      <c r="L47" s="8" t="n"/>
      <c r="M47" s="8" t="n"/>
    </row>
    <row r="48" ht="30" customHeight="1">
      <c r="A48" s="8" t="n"/>
      <c r="B48" s="8" t="n"/>
      <c r="C48" s="8" t="n"/>
      <c r="D48" s="5" t="n"/>
      <c r="E48" s="5" t="n"/>
      <c r="F48" s="5" t="n"/>
      <c r="G48" s="5" t="n"/>
      <c r="H48" s="5" t="n"/>
      <c r="I48" s="6">
        <f>IF(COUNT(D48:H48)&lt;5,"",D48*3+E48*2+F48*2+G48*3+H48*2)</f>
        <v/>
      </c>
      <c r="J48" s="7">
        <f>IF(COUNT(D48:H48)&lt;5,"",IF(F48=0,"対象外(関西外)",IF(H48=0,"29卒へ退避",IF(I48&gt;=30,"S",IF(I48&gt;=24,"A",IF(I48&gt;=18,"B","C"))))))</f>
        <v/>
      </c>
      <c r="K48" s="5" t="n"/>
      <c r="L48" s="8" t="n"/>
      <c r="M48" s="8" t="n"/>
    </row>
  </sheetData>
  <autoFilter ref="A3:M48"/>
  <mergeCells count="2">
    <mergeCell ref="A2:M2"/>
    <mergeCell ref="A1:M1"/>
  </mergeCells>
  <conditionalFormatting sqref="J4:J48">
    <cfRule type="expression" priority="1" dxfId="0">
      <formula>$J4="S"</formula>
    </cfRule>
    <cfRule type="expression" priority="2" dxfId="1">
      <formula>$J4="A"</formula>
    </cfRule>
    <cfRule type="expression" priority="3" dxfId="2">
      <formula>$J4="B"</formula>
    </cfRule>
    <cfRule type="expression" priority="4" dxfId="3">
      <formula>$J4="C"</formula>
    </cfRule>
    <cfRule type="expression" priority="5" dxfId="4">
      <formula>$J4="対象外(関西外)"</formula>
    </cfRule>
    <cfRule type="expression" priority="6" dxfId="5">
      <formula>$J4="29卒へ退避"</formula>
    </cfRule>
  </conditionalFormatting>
  <dataValidations count="2">
    <dataValidation sqref="D4:H48" showDropDown="0" showInputMessage="0" showErrorMessage="1" allowBlank="1" errorTitle="入力エラー" error="0〜3の数値を選んでください" type="list">
      <formula1>"0,1,2,3"</formula1>
    </dataValidation>
    <dataValidation sqref="K4:K48" showDropDown="0" showInputMessage="0" showErrorMessage="0" allowBlank="1" type="list">
      <formula1>"未着手,リスト化,架電済,アポ,受注,失注,29卒退避"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30" customWidth="1" min="3" max="3"/>
    <col width="28" customWidth="1" min="4" max="4"/>
    <col width="24" customWidth="1" min="5" max="5"/>
    <col width="26" customWidth="1" min="6" max="6"/>
  </cols>
  <sheetData>
    <row r="1" ht="26" customHeight="1">
      <c r="A1" s="9" t="inlineStr">
        <is>
          <t>スコアリング基準（各軸0〜3で入力）</t>
        </is>
      </c>
    </row>
    <row r="2" ht="34" customHeight="1">
      <c r="A2" s="2" t="inlineStr">
        <is>
          <t>加重スコア = ①関係性×3 ＋ ②業界フィット×2 ＋ ③関西採用×2 ＋ ④イベント出展×3 ＋ ⑤予算タイミング×2 （最大36点）。  ③=0は自動で『対象外』、⑤=0は自動で『29卒へ退避』。優先度: S≧30 / A≧24 / B≧18 / C&lt;18。</t>
        </is>
      </c>
    </row>
    <row r="3" ht="24" customHeight="1">
      <c r="A3" s="3" t="inlineStr">
        <is>
          <t>軸</t>
        </is>
      </c>
      <c r="B3" s="3" t="inlineStr">
        <is>
          <t>重み</t>
        </is>
      </c>
      <c r="C3" s="3" t="inlineStr">
        <is>
          <t>3点</t>
        </is>
      </c>
      <c r="D3" s="3" t="inlineStr">
        <is>
          <t>2点</t>
        </is>
      </c>
      <c r="E3" s="3" t="inlineStr">
        <is>
          <t>1点</t>
        </is>
      </c>
      <c r="F3" s="3" t="inlineStr">
        <is>
          <t>0点（除外/退避）</t>
        </is>
      </c>
    </row>
    <row r="4" ht="42" customHeight="1">
      <c r="A4" s="10" t="inlineStr">
        <is>
          <t>① 関係性</t>
        </is>
      </c>
      <c r="B4" s="6" t="inlineStr">
        <is>
          <t>×3</t>
        </is>
      </c>
      <c r="C4" s="4" t="inlineStr">
        <is>
          <t>ラクロス部OBが在籍/内定実績あり</t>
        </is>
      </c>
      <c r="D4" s="4" t="inlineStr">
        <is>
          <t>大学OB・既存取引・紹介ルートあり</t>
        </is>
      </c>
      <c r="E4" s="4" t="inlineStr">
        <is>
          <t>過去接触・名刺交換レベル</t>
        </is>
      </c>
      <c r="F4" s="4" t="inlineStr">
        <is>
          <t>接点なし（完全新規）</t>
        </is>
      </c>
    </row>
    <row r="5" ht="42" customHeight="1">
      <c r="A5" s="10" t="inlineStr">
        <is>
          <t>② 業界フィット</t>
        </is>
      </c>
      <c r="B5" s="6" t="inlineStr">
        <is>
          <t>×2</t>
        </is>
      </c>
      <c r="C5" s="4" t="inlineStr">
        <is>
          <t>営業重視・体育会採用を明言
(不動産/人材/保険/住宅 等)</t>
        </is>
      </c>
      <c r="D5" s="4" t="inlineStr">
        <is>
          <t>好相性業界
(商社/SaaS営業/メーカー営業 等)</t>
        </is>
      </c>
      <c r="E5" s="4" t="inlineStr">
        <is>
          <t>一般事業会社（営業職はある）</t>
        </is>
      </c>
      <c r="F5" s="4" t="inlineStr">
        <is>
          <t>体育会と相性が薄い
(専門職・研究職中心)</t>
        </is>
      </c>
    </row>
    <row r="6" ht="42" customHeight="1">
      <c r="A6" s="10" t="inlineStr">
        <is>
          <t>③ 関西採用</t>
        </is>
      </c>
      <c r="B6" s="6" t="inlineStr">
        <is>
          <t>×2</t>
        </is>
      </c>
      <c r="C6" s="4" t="inlineStr">
        <is>
          <t>関西本社</t>
        </is>
      </c>
      <c r="D6" s="4" t="inlineStr">
        <is>
          <t>関西支社に採用枠/エリア採用あり</t>
        </is>
      </c>
      <c r="E6" s="4" t="inlineStr">
        <is>
          <t>関西配属の可能性あり(全国採用)</t>
        </is>
      </c>
      <c r="F6" s="4" t="inlineStr">
        <is>
          <t>関西で採用・配属なし → 対象外</t>
        </is>
      </c>
    </row>
    <row r="7" ht="42" customHeight="1">
      <c r="A7" s="10" t="inlineStr">
        <is>
          <t>④ イベント出展</t>
        </is>
      </c>
      <c r="B7" s="6" t="inlineStr">
        <is>
          <t>×3</t>
        </is>
      </c>
      <c r="C7" s="4" t="inlineStr">
        <is>
          <t>採用イベント常連
(合説/他大体育会イベント出展)</t>
        </is>
      </c>
      <c r="D7" s="4" t="inlineStr">
        <is>
          <t>過去にイベント出展実績あり</t>
        </is>
      </c>
      <c r="E7" s="4" t="inlineStr">
        <is>
          <t>不明だが可能性あり</t>
        </is>
      </c>
      <c r="F7" s="4" t="inlineStr">
        <is>
          <t>イベントを使わない方針が明確</t>
        </is>
      </c>
    </row>
    <row r="8" ht="42" customHeight="1">
      <c r="A8" s="10" t="inlineStr">
        <is>
          <t>⑤ 予算タイミング</t>
        </is>
      </c>
      <c r="B8" s="6" t="inlineStr">
        <is>
          <t>×2</t>
        </is>
      </c>
      <c r="C8" s="4" t="inlineStr">
        <is>
          <t>予算未策定/通年採用/現場裁量で即決可</t>
        </is>
      </c>
      <c r="D8" s="4" t="inlineStr">
        <is>
          <t>予算調整の余地あり</t>
        </is>
      </c>
      <c r="E8" s="4" t="inlineStr">
        <is>
          <t>予算ほぼ確定だが追加枠の可能性</t>
        </is>
      </c>
      <c r="F8" s="4" t="inlineStr">
        <is>
          <t>28卒予算完了・追加不可 → 29卒へ退避</t>
        </is>
      </c>
    </row>
    <row r="10">
      <c r="A10" s="11" t="inlineStr">
        <is>
          <t>優先度ランクの意味</t>
        </is>
      </c>
    </row>
    <row r="11" ht="26" customHeight="1">
      <c r="A11" s="12" t="inlineStr">
        <is>
          <t>S (≧30)</t>
        </is>
      </c>
      <c r="B11" s="4" t="inlineStr">
        <is>
          <t>最優先。今すぐ架電。9月枠から埋める</t>
        </is>
      </c>
    </row>
    <row r="12" ht="26" customHeight="1">
      <c r="A12" s="13" t="inlineStr">
        <is>
          <t>A (24-29)</t>
        </is>
      </c>
      <c r="B12" s="4" t="inlineStr">
        <is>
          <t>優先架電。歩留まりが高い本命層</t>
        </is>
      </c>
    </row>
    <row r="13" ht="26" customHeight="1">
      <c r="A13" s="14" t="inlineStr">
        <is>
          <t>B (18-23)</t>
        </is>
      </c>
      <c r="B13" s="4" t="inlineStr">
        <is>
          <t>余力があれば架電。スクリプト次第</t>
        </is>
      </c>
    </row>
    <row r="14" ht="26" customHeight="1">
      <c r="A14" s="15" t="inlineStr">
        <is>
          <t>C (&lt;18)</t>
        </is>
      </c>
      <c r="B14" s="4" t="inlineStr">
        <is>
          <t>後回し。リスト補充が尽きたら</t>
        </is>
      </c>
    </row>
    <row r="15" ht="26" customHeight="1">
      <c r="A15" s="16" t="inlineStr">
        <is>
          <t>対象外(関西外)</t>
        </is>
      </c>
      <c r="B15" s="4" t="inlineStr">
        <is>
          <t>③=0。学生の関西志向と不一致で除外</t>
        </is>
      </c>
    </row>
    <row r="16" ht="26" customHeight="1">
      <c r="A16" s="17" t="inlineStr">
        <is>
          <t>29卒へ退避</t>
        </is>
      </c>
      <c r="B16" s="4" t="inlineStr">
        <is>
          <t>⑤=0。28卒予算完了 → 次シーズンの見込み客としてタグ管理</t>
        </is>
      </c>
    </row>
  </sheetData>
  <mergeCells count="8">
    <mergeCell ref="A2:F2"/>
    <mergeCell ref="B12:F12"/>
    <mergeCell ref="B16:F16"/>
    <mergeCell ref="B15:F15"/>
    <mergeCell ref="A1:F1"/>
    <mergeCell ref="B11:F11"/>
    <mergeCell ref="B14:F14"/>
    <mergeCell ref="B13:F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30" customWidth="1" min="4" max="4"/>
  </cols>
  <sheetData>
    <row r="1" ht="26" customHeight="1">
      <c r="A1" s="9" t="inlineStr">
        <is>
          <t>ファネル逆算：必要な架電数を試算</t>
        </is>
      </c>
    </row>
    <row r="2">
      <c r="A2" s="2" t="inlineStr">
        <is>
          <t>白セル(黄色)を編集すると必要アポ数・必要架電数が自動で再計算されます。</t>
        </is>
      </c>
    </row>
    <row r="4">
      <c r="A4" s="18" t="inlineStr">
        <is>
          <t>【前提】</t>
        </is>
      </c>
    </row>
    <row r="5" ht="24" customHeight="1">
      <c r="A5" s="4" t="inlineStr">
        <is>
          <t>1回あたり出展枠</t>
        </is>
      </c>
      <c r="B5" s="19" t="n">
        <v>6</v>
      </c>
      <c r="D5" s="20" t="inlineStr">
        <is>
          <t>満枠数（フルマッチング）</t>
        </is>
      </c>
    </row>
    <row r="6" ht="24" customHeight="1">
      <c r="A6" s="4" t="inlineStr">
        <is>
          <t>開催回数</t>
        </is>
      </c>
      <c r="B6" s="19" t="n">
        <v>2</v>
      </c>
      <c r="D6" s="20" t="inlineStr">
        <is>
          <t>9月・11月</t>
        </is>
      </c>
    </row>
    <row r="7" ht="24" customHeight="1">
      <c r="A7" s="4" t="inlineStr">
        <is>
          <t>必要受注（のべ枠）</t>
        </is>
      </c>
      <c r="B7" s="21">
        <f>B5*B6</f>
        <v/>
      </c>
      <c r="D7" s="20">
        <f>枠×回数</f>
        <v/>
      </c>
    </row>
    <row r="9">
      <c r="A9" s="18" t="inlineStr">
        <is>
          <t>【現状の歩留まり】</t>
        </is>
      </c>
    </row>
    <row r="10" ht="24" customHeight="1">
      <c r="A10" s="4" t="inlineStr">
        <is>
          <t>アポ率（架電→アポ）</t>
        </is>
      </c>
      <c r="B10" s="22" t="n">
        <v>0.03</v>
      </c>
      <c r="D10" s="20" t="inlineStr"/>
    </row>
    <row r="11" ht="24" customHeight="1">
      <c r="A11" s="4" t="inlineStr">
        <is>
          <t>受注率（アポ→受注）</t>
        </is>
      </c>
      <c r="B11" s="22" t="n">
        <v>0.3</v>
      </c>
      <c r="D11" s="20" t="inlineStr"/>
    </row>
    <row r="12" ht="24" customHeight="1">
      <c r="A12" s="4" t="inlineStr">
        <is>
          <t>必要アポ数</t>
        </is>
      </c>
      <c r="B12" s="21">
        <f>ROUNDUP(B7/B11,0)</f>
        <v/>
      </c>
      <c r="D12" s="20">
        <f>必要受注 ÷ 受注率</f>
        <v/>
      </c>
    </row>
    <row r="13" ht="24" customHeight="1">
      <c r="A13" s="4" t="inlineStr">
        <is>
          <t>必要架電数</t>
        </is>
      </c>
      <c r="B13" s="21">
        <f>ROUNDUP(B12/B10,0)</f>
        <v/>
      </c>
      <c r="D13" s="20">
        <f>必要アポ ÷ アポ率 … これがリスト消費量</f>
        <v/>
      </c>
    </row>
    <row r="15">
      <c r="A15" s="18" t="inlineStr">
        <is>
          <t>【目標（質を上げた場合）】</t>
        </is>
      </c>
    </row>
    <row r="16" ht="24" customHeight="1">
      <c r="A16" s="4" t="inlineStr">
        <is>
          <t>アポ率（目標）</t>
        </is>
      </c>
      <c r="B16" s="22" t="n">
        <v>0.06</v>
      </c>
      <c r="D16" s="20" t="inlineStr"/>
    </row>
    <row r="17" ht="24" customHeight="1">
      <c r="A17" s="4" t="inlineStr">
        <is>
          <t>受注率（目標）</t>
        </is>
      </c>
      <c r="B17" s="22" t="n">
        <v>0.4</v>
      </c>
      <c r="D17" s="20" t="inlineStr"/>
    </row>
    <row r="18" ht="24" customHeight="1">
      <c r="A18" s="4" t="inlineStr">
        <is>
          <t>必要アポ数</t>
        </is>
      </c>
      <c r="B18" s="21">
        <f>ROUNDUP(B7/B17,0)</f>
        <v/>
      </c>
      <c r="D18" s="20" t="inlineStr"/>
    </row>
    <row r="19" ht="24" customHeight="1">
      <c r="A19" s="4" t="inlineStr">
        <is>
          <t>必要架電数</t>
        </is>
      </c>
      <c r="B19" s="21">
        <f>ROUNDUP(B18/B16,0)</f>
        <v/>
      </c>
      <c r="D19" s="20" t="inlineStr"/>
    </row>
    <row r="21" ht="24" customHeight="1">
      <c r="A21" s="4" t="inlineStr">
        <is>
          <t>リスト消費 削減効果</t>
        </is>
      </c>
      <c r="B21" s="23">
        <f>TEXT(B13,"0")&amp;" → "&amp;TEXT(B19,"0")&amp;" 件 ("&amp;TEXT(1-B19/B13,"0%")&amp;" 削減)"</f>
        <v/>
      </c>
      <c r="D21" s="20" t="inlineStr">
        <is>
          <t>現状→目標で必要リストがどれだけ減るか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2026-07-09T02:56:01Z</dcterms:created>
  <dcterms:modified xsi:type="dcterms:W3CDTF">2026-07-09T02:56:01Z</dcterms:modified>
</cp:coreProperties>
</file>